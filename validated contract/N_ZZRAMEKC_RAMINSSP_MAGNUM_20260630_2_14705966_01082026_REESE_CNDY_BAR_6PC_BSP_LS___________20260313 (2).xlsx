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Default Extension="vml" ContentType="application/vnd.openxmlformats-officedocument.vmlDrawing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xr10="http://schemas.microsoft.com/office/spreadsheetml/2016/revision10" xmlns:x15="http://schemas.microsoft.com/office/spreadsheetml/2010/11/main" xmlns:mc="http://schemas.openxmlformats.org/markup-compatibility/2006" xmlns:xr="http://schemas.microsoft.com/office/spreadsheetml/2014/revision" xmlns:xr2="http://schemas.microsoft.com/office/spreadsheetml/2015/revision2" xmlns:xr6="http://schemas.microsoft.com/office/spreadsheetml/2016/revision6" mc:Ignorable="x15 xr xr6 xr10 xr2">
  <fileVersion appName="xl" lastEdited="4" lowestEdited="4" rupBuild="9302"/>
  <workbookPr defaultThemeVersion="124226"/>
  <mc:AlternateContent xmlns:mc="http://schemas.openxmlformats.org/markup-compatibility/2006">
    <mc:Choice Requires="x15">
      <x15ac:absPath xmlns:x15ac="http://schemas.microsoft.com/office/spreadsheetml/2010/11/ac" url="I:\# FORMS INFO\FORMS TEMPLATES (ACTIVE)\226 - KANSAS CITY\XML\ASSDKC - AWG KC\~CLONE 19\"/>
    </mc:Choice>
  </mc:AlternateContent>
  <bookViews>
    <workbookView xWindow="28690" yWindow="-110" windowWidth="29020" windowHeight="15700" tabRatio="580" activeTab="0"/>
  </bookViews>
  <sheets>
    <sheet name="RAMINSSP_1" sheetId="8" r:id="rId2"/>
  </sheets>
  <definedNames>
    <definedName name="_xlnm.Print_Area" localSheetId="0">RAMINSSP_1!$B$2:$K$46</definedName>
  </definedNames>
  <calcPr calcId="162913"/>
  <extLst/>
</workbook>
</file>

<file path=xl/calcChain.xml><?xml version="1.0" encoding="utf-8"?>
<calcChain xmlns="http://schemas.openxmlformats.org/spreadsheetml/2006/main">
  <c r="H2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sharpadmin</author>
  </authors>
  <commentList>
    <comment ref="A1" authorId="0">
      <text>
        <r>
          <t>URL=http://arus.acosta.com/BSIExcelForms/wfProcessContract.aspx|plan_no=726529|event_no=14705966|division=ASSPKC|indirect=ZZRAMEKC|form_code=RAMINSSP|form_type=N|login_user=svc-usprd|proxy_user=svc-usprd|</t>
        </r>
      </text>
    </comment>
  </commentList>
</comments>
</file>

<file path=xl/sharedStrings.xml><?xml version="1.0" encoding="utf-8"?>
<sst xmlns="http://schemas.openxmlformats.org/spreadsheetml/2006/main" count="94" uniqueCount="82">
  <si>
    <t>PYRAMID FOODS NEW ITEM CHECKLIST</t>
  </si>
  <si>
    <t>RPCS OFFICE USE ONLY</t>
  </si>
  <si>
    <t>VENDOR:</t>
  </si>
  <si>
    <t>Acosta Sales &amp; Marketing</t>
  </si>
  <si>
    <t>EMAIL:</t>
  </si>
  <si>
    <t>tkinser@acosta.com</t>
  </si>
  <si>
    <t>IMAGE FILE REC'D _________________</t>
  </si>
  <si>
    <t>MANUFACTURER:</t>
  </si>
  <si>
    <t>MAGNUM ICC US, LLC DBA THE MAG</t>
  </si>
  <si>
    <t>OFFICE NO:</t>
  </si>
  <si>
    <t>417-379-8859</t>
  </si>
  <si>
    <t>ADDRESS:</t>
  </si>
  <si>
    <t>800 SYLVAN AVE</t>
  </si>
  <si>
    <t>CELL NO:</t>
  </si>
  <si>
    <t>NO PIC EMAIL VENDOR __________</t>
  </si>
  <si>
    <t xml:space="preserve"> </t>
  </si>
  <si>
    <t>DATE:</t>
  </si>
  <si>
    <t>3/13/2026</t>
  </si>
  <si>
    <t>WORK ITEMS IN POG _______________</t>
  </si>
  <si>
    <t>YES</t>
  </si>
  <si>
    <t>NO</t>
  </si>
  <si>
    <t>PARTIAL</t>
  </si>
  <si>
    <t xml:space="preserve">Mandatory New Item Signage FEE $200.00 </t>
  </si>
  <si>
    <t>*FREE DISTRIBUTION*:</t>
  </si>
  <si>
    <t/>
  </si>
  <si>
    <t>Order Cut for Dist ________________</t>
  </si>
  <si>
    <t>IF PARTIAL DIST, LIST THE STORES VENDOR WILL TAG:</t>
  </si>
  <si>
    <t>5 week scan provided if requested with the New Item Signage</t>
  </si>
  <si>
    <t>NEW ITEM SIGN DATE _____________</t>
  </si>
  <si>
    <t>PARTIAL DIST: DATE THAT POG WORK WILL BE COMPLETED BY VENDOR TEAM:</t>
  </si>
  <si>
    <t>4 WEEK MAX</t>
  </si>
  <si>
    <t>UPDATE NEW ITEM LIST _____________</t>
  </si>
  <si>
    <t>DATE PRODUCT IS AVAILABLE TO ORDER:</t>
  </si>
  <si>
    <t>1/28/2026</t>
  </si>
  <si>
    <t>IF A LINE EXTENSION, PLEASE LIST LIKE ITEM UPC:</t>
  </si>
  <si>
    <t>FULL UPC OF LIKE ITEM</t>
  </si>
  <si>
    <t>PLEASE ATTACH .JPG TO YOUR EMAIL OF ALL NEW &amp; CONVERSION ITEMS</t>
  </si>
  <si>
    <t>PLEASE USE BEGINNING CHECK DIGIT</t>
  </si>
  <si>
    <t>UNIT DIMENSIONS</t>
  </si>
  <si>
    <t>UPC</t>
  </si>
  <si>
    <t>PRODUCT DESCRIPTION</t>
  </si>
  <si>
    <t>CASE PACK</t>
  </si>
  <si>
    <t>UNIT SIZE</t>
  </si>
  <si>
    <t>ORDER CODE</t>
  </si>
  <si>
    <t>CASE COST</t>
  </si>
  <si>
    <t>UNIT COST</t>
  </si>
  <si>
    <t xml:space="preserve">HEIGHT </t>
  </si>
  <si>
    <t>WIDTH</t>
  </si>
  <si>
    <t>DEPTH</t>
  </si>
  <si>
    <t>40024</t>
  </si>
  <si>
    <t>GH REESES BAR</t>
  </si>
  <si>
    <t>6 CT</t>
  </si>
  <si>
    <t>018718</t>
  </si>
  <si>
    <t>5.0630</t>
  </si>
  <si>
    <t>1.6880</t>
  </si>
  <si>
    <t>9.1250</t>
  </si>
  <si>
    <t>SUGGESTED DELETES: TYPICALLY 1 FOR 1. WHEN SUBMITTING NEW ITEMS MUST SUBMIT A SUGGESTED DELETE FOR PLANOGRAM WORK</t>
  </si>
  <si>
    <t>COMMENTS:</t>
  </si>
  <si>
    <t>VENDOR</t>
  </si>
  <si>
    <t>SIGNATURE:</t>
  </si>
  <si>
    <t>P1</t>
  </si>
  <si>
    <t>1 FREE CASE</t>
  </si>
  <si>
    <t>ACCEPTED BY:</t>
  </si>
  <si>
    <t>MAGNUM</t>
  </si>
  <si>
    <t>ZZRAMEKC</t>
  </si>
  <si>
    <t>726529</t>
  </si>
  <si>
    <t>14705966</t>
  </si>
  <si>
    <t>01082026 REESE CNDY BAR 6PC BSP LS</t>
  </si>
  <si>
    <t>03/13/2026</t>
  </si>
  <si>
    <t>RAMINSSP</t>
  </si>
  <si>
    <t>5885</t>
  </si>
  <si>
    <t>pr_units</t>
  </si>
  <si>
    <t>sl_factor</t>
  </si>
  <si>
    <t>sl_multdvde</t>
  </si>
  <si>
    <t>pr_pack</t>
  </si>
  <si>
    <t>sl_retail</t>
  </si>
  <si>
    <t>ENGLEWOOD CLIFFS</t>
  </si>
  <si>
    <t>8</t>
  </si>
  <si>
    <t>0.00</t>
  </si>
  <si>
    <t>35.1800</t>
  </si>
  <si>
    <t>NJ</t>
  </si>
  <si>
    <t>076323201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</si>
</sst>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26">
    <font>
      <sz val="1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 val="single"/>
      <sz val="10"/>
      <color rgb="FF0000FF"/>
      <name val="Arial"/>
      <family val="2"/>
    </font>
    <font>
      <sz val="10"/>
      <color rgb="FFFF0000"/>
      <name val="Arial"/>
      <family val="2"/>
    </font>
    <font>
      <b/>
      <sz val="10"/>
      <color rgb="FF0000FF"/>
      <name val="Arial"/>
      <family val="2"/>
    </font>
    <font>
      <b/>
      <sz val="10"/>
      <color rgb="FF008000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i/>
      <sz val="10"/>
      <name val="Arial"/>
      <family val="2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2"/>
      <color rgb="FF953735"/>
      <name val="Arial"/>
      <family val="2"/>
    </font>
    <font>
      <b/>
      <sz val="10"/>
      <color rgb="FF953735"/>
      <name val="Arial"/>
      <family val="2"/>
    </font>
    <font>
      <b/>
      <sz val="10"/>
      <color rgb="FF254061"/>
      <name val="Arial"/>
      <family val="2"/>
    </font>
    <font>
      <b/>
      <i/>
      <sz val="8"/>
      <color rgb="FF953735"/>
      <name val="Arial"/>
      <family val="2"/>
    </font>
    <font>
      <b/>
      <i/>
      <sz val="11"/>
      <color rgb="FF953735"/>
      <name val="Calibri"/>
      <family val="2"/>
      <scheme val="minor"/>
    </font>
    <font>
      <b/>
      <sz val="10"/>
      <color rgb="FFC00000"/>
      <name val="Arial"/>
      <family val="2"/>
    </font>
    <font>
      <b/>
      <sz val="10"/>
      <color rgb="FFFF0000"/>
      <name val="Arial"/>
      <family val="2"/>
    </font>
    <font>
      <sz val="8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EBF1DE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 style="medium">
        <color auto="1"/>
      </bottom>
    </border>
    <border>
      <left/>
      <right/>
      <top style="medium">
        <color auto="1"/>
      </top>
      <bottom/>
    </border>
    <border>
      <left/>
      <right style="medium">
        <color auto="1"/>
      </right>
      <top/>
      <bottom/>
    </border>
    <border>
      <left style="medium">
        <color auto="1"/>
      </left>
      <right/>
      <top/>
      <bottom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/>
      <right/>
      <top/>
      <bottom style="medium">
        <color auto="1"/>
      </bottom>
    </border>
    <border>
      <left style="medium">
        <color auto="1"/>
      </left>
      <right/>
      <top style="medium">
        <color auto="1"/>
      </top>
      <bottom/>
    </border>
    <border>
      <left/>
      <right style="medium">
        <color auto="1"/>
      </right>
      <top style="medium">
        <color auto="1"/>
      </top>
      <bottom style="medium">
        <color auto="1"/>
      </bottom>
    </border>
    <border>
      <left/>
      <right style="medium">
        <color auto="1"/>
      </right>
      <top style="medium">
        <color auto="1"/>
      </top>
      <bottom/>
    </border>
    <border>
      <left/>
      <right style="medium">
        <color auto="1"/>
      </right>
      <top/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 style="medium">
        <color auto="1"/>
      </left>
      <right/>
      <top style="medium">
        <color auto="1"/>
      </top>
      <bottom style="medium">
        <color auto="1"/>
      </bottom>
    </border>
    <border>
      <left/>
      <right/>
      <top style="medium">
        <color auto="1"/>
      </top>
      <bottom style="medium">
        <color auto="1"/>
      </bottom>
    </border>
    <border>
      <left style="medium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medium">
        <color auto="1"/>
      </bottom>
    </border>
    <border>
      <left style="thin">
        <color auto="1"/>
      </left>
      <right/>
      <top/>
      <bottom style="medium">
        <color auto="1"/>
      </bottom>
    </border>
    <border>
      <left style="medium">
        <color auto="1"/>
      </left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 style="medium">
        <color auto="1"/>
      </right>
      <top/>
      <bottom style="thin">
        <color auto="1"/>
      </bottom>
    </border>
    <border>
      <left style="thin">
        <color auto="1"/>
      </left>
      <right/>
      <top/>
      <bottom style="thin">
        <color auto="1"/>
      </bottom>
    </border>
  </borders>
  <cellStyleXfs count="26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6" fillId="2" borderId="0" applyNumberFormat="0" applyBorder="0" applyAlignment="0" applyProtection="0"/>
    <xf numFmtId="0" fontId="7" fillId="0" borderId="0" applyNumberFormat="0" applyFill="0" applyBorder="0">
      <alignment/>
      <protection locked="0"/>
    </xf>
    <xf numFmtId="0" fontId="17" fillId="3" borderId="0" applyNumberFormat="0" applyBorder="0" applyAlignment="0" applyProtection="0"/>
    <xf numFmtId="0" fontId="0" fillId="0" borderId="0">
      <alignment/>
      <protection/>
    </xf>
    <xf numFmtId="44" fontId="0" fillId="0" borderId="0" applyFont="0" applyFill="0" applyBorder="0" applyAlignment="0" applyProtection="0"/>
    <xf numFmtId="0" fontId="2" fillId="0" borderId="0">
      <alignment/>
      <protection/>
    </xf>
  </cellStyleXfs>
  <cellXfs count="202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8" fillId="0" borderId="0" xfId="0" applyFont="1"/>
    <xf numFmtId="0" fontId="4" fillId="0" borderId="0" xfId="0" applyFont="1"/>
    <xf numFmtId="0" fontId="0" fillId="0" borderId="0" xfId="0" applyFont="1"/>
    <xf numFmtId="0" fontId="0" fillId="0" borderId="0" xfId="0" applyFont="1"/>
    <xf numFmtId="0" fontId="10" fillId="4" borderId="1" xfId="0" applyFont="1" applyFill="1" applyBorder="1"/>
    <xf numFmtId="0" fontId="0" fillId="4" borderId="0" xfId="0" applyFont="1" applyFill="1"/>
    <xf numFmtId="0" fontId="0" fillId="0" borderId="0" xfId="0" applyFont="1"/>
    <xf numFmtId="0" fontId="0" fillId="4" borderId="2" xfId="0" applyFill="1" applyBorder="1"/>
    <xf numFmtId="164" fontId="0" fillId="4" borderId="2" xfId="0" applyNumberFormat="1" applyFill="1" applyBorder="1"/>
    <xf numFmtId="1" fontId="6" fillId="4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Font="1" applyBorder="1"/>
    <xf numFmtId="0" fontId="0" fillId="4" borderId="0" xfId="0" applyFont="1" applyFill="1"/>
    <xf numFmtId="0" fontId="0" fillId="4" borderId="3" xfId="0" applyFont="1" applyFill="1" applyBorder="1"/>
    <xf numFmtId="0" fontId="3" fillId="4" borderId="0" xfId="0" applyFont="1" applyFill="1"/>
    <xf numFmtId="164" fontId="5" fillId="0" borderId="0" xfId="0" applyNumberFormat="1" applyFont="1"/>
    <xf numFmtId="0" fontId="0" fillId="4" borderId="0" xfId="0" applyFont="1" applyFill="1"/>
    <xf numFmtId="0" fontId="0" fillId="0" borderId="0" xfId="0" applyFont="1"/>
    <xf numFmtId="0" fontId="0" fillId="4" borderId="0" xfId="0" applyFill="1"/>
    <xf numFmtId="1" fontId="0" fillId="4" borderId="0" xfId="0" applyNumberFormat="1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6" fillId="4" borderId="0" xfId="0" applyFont="1" applyFill="1"/>
    <xf numFmtId="0" fontId="5" fillId="4" borderId="4" xfId="0" applyFont="1" applyFill="1" applyBorder="1" applyAlignment="1">
      <alignment horizontal="left"/>
    </xf>
    <xf numFmtId="1" fontId="5" fillId="5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/>
    </xf>
    <xf numFmtId="1" fontId="0" fillId="0" borderId="4" xfId="0" applyNumberFormat="1" applyFont="1" applyBorder="1" applyAlignment="1">
      <alignment horizontal="center"/>
    </xf>
    <xf numFmtId="1" fontId="5" fillId="5" borderId="6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11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/>
    </xf>
    <xf numFmtId="1" fontId="0" fillId="0" borderId="7" xfId="0" applyNumberFormat="1" applyFont="1" applyBorder="1" applyAlignment="1">
      <alignment horizontal="center"/>
    </xf>
    <xf numFmtId="4" fontId="5" fillId="6" borderId="8" xfId="0" applyNumberFormat="1" applyFont="1" applyFill="1" applyBorder="1" applyAlignment="1">
      <alignment horizontal="center"/>
    </xf>
    <xf numFmtId="0" fontId="5" fillId="7" borderId="9" xfId="0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4" fontId="5" fillId="6" borderId="1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0" fontId="3" fillId="5" borderId="8" xfId="0" applyFont="1" applyFill="1" applyBorder="1"/>
    <xf numFmtId="0" fontId="0" fillId="5" borderId="2" xfId="0" applyFont="1" applyFill="1" applyBorder="1"/>
    <xf numFmtId="0" fontId="0" fillId="5" borderId="10" xfId="0" applyFont="1" applyFill="1" applyBorder="1"/>
    <xf numFmtId="0" fontId="0" fillId="5" borderId="4" xfId="0" applyFont="1" applyFill="1" applyBorder="1"/>
    <xf numFmtId="0" fontId="0" fillId="5" borderId="0" xfId="0" applyFont="1" applyFill="1"/>
    <xf numFmtId="0" fontId="0" fillId="5" borderId="3" xfId="0" applyFont="1" applyFill="1" applyBorder="1"/>
    <xf numFmtId="0" fontId="3" fillId="5" borderId="4" xfId="0" applyFont="1" applyFill="1" applyBorder="1"/>
    <xf numFmtId="0" fontId="0" fillId="5" borderId="0" xfId="0" applyFont="1" applyFill="1"/>
    <xf numFmtId="0" fontId="0" fillId="5" borderId="3" xfId="0" applyFont="1" applyFill="1" applyBorder="1"/>
    <xf numFmtId="0" fontId="0" fillId="5" borderId="4" xfId="0" applyFont="1" applyFill="1" applyBorder="1"/>
    <xf numFmtId="0" fontId="3" fillId="5" borderId="1" xfId="0" applyFont="1" applyFill="1" applyBorder="1"/>
    <xf numFmtId="0" fontId="0" fillId="5" borderId="7" xfId="0" applyFont="1" applyFill="1" applyBorder="1"/>
    <xf numFmtId="0" fontId="0" fillId="5" borderId="11" xfId="0" applyFont="1" applyFill="1" applyBorder="1"/>
    <xf numFmtId="0" fontId="3" fillId="5" borderId="0" xfId="0" applyFont="1" applyFill="1"/>
    <xf numFmtId="0" fontId="5" fillId="8" borderId="12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4" fillId="4" borderId="14" xfId="0" applyFont="1" applyFill="1" applyBorder="1"/>
    <xf numFmtId="1" fontId="14" fillId="0" borderId="15" xfId="0" applyNumberFormat="1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1" fontId="14" fillId="0" borderId="16" xfId="0" applyNumberFormat="1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4" fontId="14" fillId="0" borderId="18" xfId="0" applyNumberFormat="1" applyFont="1" applyBorder="1" applyAlignment="1">
      <alignment horizontal="center"/>
    </xf>
    <xf numFmtId="4" fontId="14" fillId="0" borderId="19" xfId="0" applyNumberFormat="1" applyFont="1" applyBorder="1" applyAlignment="1">
      <alignment horizontal="center"/>
    </xf>
    <xf numFmtId="1" fontId="14" fillId="0" borderId="15" xfId="0" applyNumberFormat="1" applyFont="1" applyBorder="1" applyAlignment="1" applyProtection="1">
      <alignment horizontal="center"/>
      <protection locked="0"/>
    </xf>
    <xf numFmtId="1" fontId="14" fillId="0" borderId="20" xfId="0" applyNumberFormat="1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4" fontId="14" fillId="0" borderId="13" xfId="0" applyNumberFormat="1" applyFont="1" applyBorder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1" fontId="5" fillId="0" borderId="21" xfId="0" applyNumberFormat="1" applyFont="1" applyBorder="1" applyAlignment="1">
      <alignment horizontal="center"/>
    </xf>
    <xf numFmtId="0" fontId="18" fillId="0" borderId="22" xfId="0" applyFont="1" applyBorder="1"/>
    <xf numFmtId="0" fontId="19" fillId="0" borderId="9" xfId="0" applyFont="1" applyBorder="1" applyAlignment="1">
      <alignment horizontal="left"/>
    </xf>
    <xf numFmtId="0" fontId="20" fillId="9" borderId="8" xfId="0" applyFont="1" applyFill="1" applyBorder="1"/>
    <xf numFmtId="0" fontId="20" fillId="9" borderId="2" xfId="0" applyFont="1" applyFill="1" applyBorder="1" applyAlignment="1">
      <alignment horizontal="right"/>
    </xf>
    <xf numFmtId="0" fontId="0" fillId="9" borderId="2" xfId="0" applyFont="1" applyFill="1" applyBorder="1"/>
    <xf numFmtId="0" fontId="20" fillId="9" borderId="4" xfId="0" applyFont="1" applyFill="1" applyBorder="1"/>
    <xf numFmtId="0" fontId="20" fillId="9" borderId="0" xfId="0" applyFont="1" applyFill="1" applyAlignment="1">
      <alignment horizontal="right"/>
    </xf>
    <xf numFmtId="1" fontId="0" fillId="9" borderId="0" xfId="0" applyNumberFormat="1" applyFont="1" applyFill="1" applyAlignment="1">
      <alignment horizontal="center"/>
    </xf>
    <xf numFmtId="0" fontId="9" fillId="9" borderId="4" xfId="0" applyFont="1" applyFill="1" applyBorder="1"/>
    <xf numFmtId="0" fontId="10" fillId="9" borderId="1" xfId="0" applyFont="1" applyFill="1" applyBorder="1"/>
    <xf numFmtId="0" fontId="0" fillId="9" borderId="7" xfId="0" applyFont="1" applyFill="1" applyBorder="1"/>
    <xf numFmtId="164" fontId="5" fillId="9" borderId="7" xfId="0" applyNumberFormat="1" applyFont="1" applyFill="1" applyBorder="1"/>
    <xf numFmtId="164" fontId="0" fillId="9" borderId="23" xfId="0" applyNumberFormat="1" applyFont="1" applyFill="1" applyBorder="1"/>
    <xf numFmtId="0" fontId="0" fillId="9" borderId="7" xfId="0" applyFont="1" applyFill="1" applyBorder="1"/>
    <xf numFmtId="1" fontId="0" fillId="9" borderId="11" xfId="0" applyNumberFormat="1" applyFont="1" applyFill="1" applyBorder="1" applyAlignment="1">
      <alignment horizontal="center"/>
    </xf>
    <xf numFmtId="0" fontId="21" fillId="4" borderId="4" xfId="0" applyFont="1" applyFill="1" applyBorder="1"/>
    <xf numFmtId="0" fontId="0" fillId="0" borderId="22" xfId="0" applyBorder="1"/>
    <xf numFmtId="14" fontId="6" fillId="0" borderId="9" xfId="0" applyNumberFormat="1" applyFont="1" applyBorder="1"/>
    <xf numFmtId="14" fontId="6" fillId="0" borderId="23" xfId="0" applyNumberFormat="1" applyFont="1" applyBorder="1"/>
    <xf numFmtId="1" fontId="0" fillId="0" borderId="11" xfId="0" applyNumberFormat="1" applyFont="1" applyBorder="1" applyAlignment="1">
      <alignment horizontal="center"/>
    </xf>
    <xf numFmtId="1" fontId="5" fillId="0" borderId="6" xfId="0" applyNumberFormat="1" applyFont="1" applyBorder="1" applyAlignment="1">
      <alignment horizontal="center"/>
    </xf>
    <xf numFmtId="1" fontId="15" fillId="8" borderId="24" xfId="0" applyNumberFormat="1" applyFont="1" applyFill="1" applyBorder="1"/>
    <xf numFmtId="1" fontId="0" fillId="8" borderId="25" xfId="0" applyNumberFormat="1" applyFont="1" applyFill="1" applyBorder="1"/>
    <xf numFmtId="1" fontId="0" fillId="8" borderId="26" xfId="0" applyNumberFormat="1" applyFont="1" applyFill="1" applyBorder="1"/>
    <xf numFmtId="0" fontId="0" fillId="8" borderId="12" xfId="0" applyFont="1" applyFill="1" applyBorder="1" applyAlignment="1">
      <alignment horizontal="center"/>
    </xf>
    <xf numFmtId="4" fontId="0" fillId="8" borderId="12" xfId="0" applyNumberFormat="1" applyFont="1" applyFill="1" applyBorder="1" applyAlignment="1">
      <alignment horizontal="center"/>
    </xf>
    <xf numFmtId="164" fontId="0" fillId="8" borderId="12" xfId="0" applyNumberFormat="1" applyFont="1" applyFill="1" applyBorder="1" applyAlignment="1">
      <alignment horizontal="center"/>
    </xf>
    <xf numFmtId="0" fontId="0" fillId="9" borderId="23" xfId="23" applyFill="1" applyBorder="1">
      <alignment/>
      <protection/>
    </xf>
    <xf numFmtId="0" fontId="0" fillId="0" borderId="0" xfId="23">
      <alignment/>
      <protection/>
    </xf>
    <xf numFmtId="0" fontId="0" fillId="0" borderId="0" xfId="23" applyAlignment="1">
      <alignment horizontal="center"/>
      <protection/>
    </xf>
    <xf numFmtId="0" fontId="0" fillId="10" borderId="0" xfId="23" applyFill="1">
      <alignment/>
      <protection/>
    </xf>
    <xf numFmtId="164" fontId="0" fillId="0" borderId="0" xfId="23" applyNumberFormat="1">
      <alignment/>
      <protection/>
    </xf>
    <xf numFmtId="0" fontId="0" fillId="11" borderId="14" xfId="23" applyFill="1" applyBorder="1">
      <alignment/>
      <protection/>
    </xf>
    <xf numFmtId="1" fontId="0" fillId="11" borderId="14" xfId="23" applyNumberFormat="1" applyFill="1" applyBorder="1" applyAlignment="1">
      <alignment horizontal="center"/>
      <protection/>
    </xf>
    <xf numFmtId="0" fontId="0" fillId="0" borderId="14" xfId="23" applyBorder="1">
      <alignment/>
      <protection/>
    </xf>
    <xf numFmtId="1" fontId="0" fillId="0" borderId="14" xfId="23" applyNumberFormat="1" applyBorder="1" applyAlignment="1">
      <alignment horizontal="center"/>
      <protection/>
    </xf>
    <xf numFmtId="1" fontId="0" fillId="0" borderId="0" xfId="23" applyNumberFormat="1" applyAlignment="1">
      <alignment horizontal="center"/>
      <protection/>
    </xf>
    <xf numFmtId="164" fontId="13" fillId="9" borderId="27" xfId="23" applyNumberFormat="1" applyFont="1" applyFill="1" applyBorder="1" applyAlignment="1">
      <alignment horizontal="center"/>
      <protection/>
    </xf>
    <xf numFmtId="164" fontId="13" fillId="9" borderId="28" xfId="23" applyNumberFormat="1" applyFont="1" applyFill="1" applyBorder="1" applyAlignment="1">
      <alignment horizontal="center"/>
      <protection/>
    </xf>
    <xf numFmtId="0" fontId="0" fillId="9" borderId="7" xfId="23" applyFill="1" applyBorder="1">
      <alignment/>
      <protection/>
    </xf>
    <xf numFmtId="0" fontId="25" fillId="0" borderId="0" xfId="25" applyFont="1">
      <alignment/>
      <protection/>
    </xf>
    <xf numFmtId="0" fontId="3" fillId="0" borderId="0" xfId="23" applyFont="1">
      <alignment/>
      <protection/>
    </xf>
    <xf numFmtId="0" fontId="14" fillId="0" borderId="21" xfId="23" applyFont="1" applyBorder="1" applyAlignment="1">
      <alignment horizontal="center"/>
      <protection/>
    </xf>
    <xf numFmtId="43" fontId="14" fillId="0" borderId="17" xfId="23" applyNumberFormat="1" applyFont="1" applyBorder="1" applyAlignment="1">
      <alignment horizontal="center"/>
      <protection/>
    </xf>
    <xf numFmtId="43" fontId="14" fillId="0" borderId="14" xfId="23" applyNumberFormat="1" applyFont="1" applyBorder="1" applyAlignment="1">
      <alignment horizontal="center"/>
      <protection/>
    </xf>
    <xf numFmtId="1" fontId="0" fillId="10" borderId="14" xfId="23" applyNumberFormat="1" applyFill="1" applyBorder="1">
      <alignment/>
      <protection/>
    </xf>
    <xf numFmtId="1" fontId="0" fillId="0" borderId="14" xfId="23" applyNumberFormat="1" applyBorder="1">
      <alignment/>
      <protection/>
    </xf>
    <xf numFmtId="0" fontId="14" fillId="0" borderId="29" xfId="23" applyFont="1" applyBorder="1" applyAlignment="1">
      <alignment horizontal="center"/>
      <protection/>
    </xf>
    <xf numFmtId="0" fontId="14" fillId="0" borderId="24" xfId="0" applyFont="1" applyBorder="1" applyAlignment="1">
      <alignment horizontal="center"/>
    </xf>
    <xf numFmtId="0" fontId="14" fillId="4" borderId="24" xfId="0" applyFont="1" applyFill="1" applyBorder="1" applyAlignment="1">
      <alignment horizontal="center"/>
    </xf>
    <xf numFmtId="0" fontId="14" fillId="0" borderId="21" xfId="23" applyFont="1" applyBorder="1">
      <alignment/>
      <protection/>
    </xf>
    <xf numFmtId="0" fontId="14" fillId="0" borderId="14" xfId="0" applyFont="1" applyBorder="1"/>
    <xf numFmtId="2" fontId="14" fillId="0" borderId="30" xfId="23" applyNumberFormat="1" applyFont="1" applyBorder="1" applyAlignment="1">
      <alignment horizontal="center"/>
      <protection/>
    </xf>
    <xf numFmtId="2" fontId="14" fillId="0" borderId="21" xfId="23" applyNumberFormat="1" applyFont="1" applyBorder="1" applyAlignment="1">
      <alignment horizontal="center"/>
      <protection/>
    </xf>
    <xf numFmtId="2" fontId="14" fillId="0" borderId="31" xfId="23" applyNumberFormat="1" applyFont="1" applyBorder="1" applyAlignment="1">
      <alignment horizontal="center"/>
      <protection/>
    </xf>
    <xf numFmtId="2" fontId="14" fillId="4" borderId="14" xfId="0" applyNumberFormat="1" applyFont="1" applyFill="1" applyBorder="1" applyAlignment="1">
      <alignment horizontal="center"/>
    </xf>
    <xf numFmtId="2" fontId="14" fillId="4" borderId="19" xfId="0" applyNumberFormat="1" applyFont="1" applyFill="1" applyBorder="1" applyAlignment="1">
      <alignment horizontal="center"/>
    </xf>
    <xf numFmtId="2" fontId="14" fillId="4" borderId="19" xfId="0" applyNumberFormat="1" applyFont="1" applyFill="1" applyBorder="1" applyAlignment="1">
      <alignment horizontal="center"/>
    </xf>
    <xf numFmtId="0" fontId="14" fillId="0" borderId="32" xfId="23" applyFont="1" applyBorder="1" applyAlignment="1">
      <alignment horizontal="center"/>
      <protection/>
    </xf>
    <xf numFmtId="0" fontId="14" fillId="4" borderId="14" xfId="22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23" applyAlignment="1">
      <alignment horizontal="center"/>
      <protection/>
    </xf>
    <xf numFmtId="0" fontId="11" fillId="5" borderId="22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0" fontId="11" fillId="5" borderId="9" xfId="0" applyFont="1" applyFill="1" applyBorder="1" applyAlignment="1">
      <alignment horizontal="center"/>
    </xf>
    <xf numFmtId="0" fontId="11" fillId="6" borderId="22" xfId="0" applyFont="1" applyFill="1" applyBorder="1" applyAlignment="1">
      <alignment horizontal="center"/>
    </xf>
    <xf numFmtId="0" fontId="11" fillId="6" borderId="9" xfId="0" applyFont="1" applyFill="1" applyBorder="1" applyAlignment="1">
      <alignment horizontal="center"/>
    </xf>
    <xf numFmtId="0" fontId="3" fillId="5" borderId="0" xfId="0" applyFont="1" applyFill="1"/>
    <xf numFmtId="0" fontId="3" fillId="5" borderId="3" xfId="0" applyFont="1" applyFill="1" applyBorder="1"/>
    <xf numFmtId="14" fontId="0" fillId="9" borderId="7" xfId="24" applyNumberFormat="1" applyFill="1" applyBorder="1"/>
    <xf numFmtId="14" fontId="0" fillId="9" borderId="7" xfId="23" applyNumberFormat="1" applyFill="1" applyBorder="1">
      <alignment/>
      <protection/>
    </xf>
    <xf numFmtId="0" fontId="0" fillId="4" borderId="0" xfId="0" applyFont="1" applyFill="1" applyAlignment="1">
      <alignment horizontal="left"/>
    </xf>
    <xf numFmtId="0" fontId="0" fillId="4" borderId="0" xfId="0" applyFont="1" applyFill="1"/>
    <xf numFmtId="0" fontId="0" fillId="0" borderId="2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14" fontId="0" fillId="12" borderId="22" xfId="0" applyNumberFormat="1" applyFont="1" applyFill="1" applyBorder="1" applyAlignment="1">
      <alignment horizontal="center"/>
    </xf>
    <xf numFmtId="14" fontId="0" fillId="12" borderId="9" xfId="0" applyNumberFormat="1" applyFont="1" applyFill="1" applyBorder="1" applyAlignment="1">
      <alignment horizontal="center"/>
    </xf>
    <xf numFmtId="0" fontId="5" fillId="6" borderId="22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/>
    </xf>
    <xf numFmtId="164" fontId="0" fillId="4" borderId="2" xfId="0" applyNumberFormat="1" applyFont="1" applyFill="1" applyBorder="1" applyAlignment="1">
      <alignment horizontal="center"/>
    </xf>
    <xf numFmtId="164" fontId="0" fillId="4" borderId="10" xfId="0" applyNumberFormat="1" applyFont="1" applyFill="1" applyBorder="1" applyAlignment="1">
      <alignment horizontal="center"/>
    </xf>
    <xf numFmtId="164" fontId="0" fillId="4" borderId="7" xfId="0" applyNumberFormat="1" applyFont="1" applyFill="1" applyBorder="1" applyAlignment="1">
      <alignment horizontal="center"/>
    </xf>
    <xf numFmtId="164" fontId="0" fillId="4" borderId="11" xfId="0" applyNumberFormat="1" applyFont="1" applyFill="1" applyBorder="1" applyAlignment="1">
      <alignment horizontal="center"/>
    </xf>
    <xf numFmtId="0" fontId="12" fillId="5" borderId="22" xfId="0" applyFont="1" applyFill="1" applyBorder="1" applyAlignment="1">
      <alignment horizontal="center"/>
    </xf>
    <xf numFmtId="0" fontId="12" fillId="5" borderId="23" xfId="0" applyFont="1" applyFill="1" applyBorder="1" applyAlignment="1">
      <alignment horizontal="center"/>
    </xf>
    <xf numFmtId="0" fontId="7" fillId="9" borderId="23" xfId="21" applyFill="1" applyBorder="1" applyAlignment="1" applyProtection="1">
      <alignment/>
      <protection/>
    </xf>
    <xf numFmtId="0" fontId="0" fillId="9" borderId="23" xfId="0" applyFont="1" applyFill="1" applyBorder="1"/>
    <xf numFmtId="164" fontId="0" fillId="9" borderId="23" xfId="0" applyNumberFormat="1" applyFont="1" applyFill="1" applyBorder="1"/>
    <xf numFmtId="0" fontId="22" fillId="4" borderId="0" xfId="20" applyFont="1" applyFill="1" applyBorder="1" applyAlignment="1">
      <alignment horizontal="left"/>
    </xf>
    <xf numFmtId="0" fontId="0" fillId="4" borderId="0" xfId="0" applyFill="1"/>
    <xf numFmtId="0" fontId="0" fillId="4" borderId="3" xfId="0" applyFill="1" applyBorder="1"/>
    <xf numFmtId="14" fontId="0" fillId="12" borderId="22" xfId="0" applyNumberFormat="1" applyFont="1" applyFill="1" applyBorder="1" applyAlignment="1">
      <alignment horizontal="center"/>
    </xf>
    <xf numFmtId="0" fontId="23" fillId="9" borderId="22" xfId="0" applyFont="1" applyFill="1" applyBorder="1" applyAlignment="1">
      <alignment horizontal="center"/>
    </xf>
    <xf numFmtId="0" fontId="23" fillId="9" borderId="23" xfId="0" applyFont="1" applyFill="1" applyBorder="1" applyAlignment="1">
      <alignment horizontal="center"/>
    </xf>
    <xf numFmtId="0" fontId="23" fillId="9" borderId="9" xfId="0" applyFont="1" applyFill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6" fillId="6" borderId="4" xfId="0" applyFont="1" applyFill="1" applyBorder="1" applyAlignment="1">
      <alignment horizontal="left"/>
    </xf>
    <xf numFmtId="0" fontId="6" fillId="6" borderId="0" xfId="0" applyFont="1" applyFill="1" applyAlignment="1">
      <alignment horizontal="left"/>
    </xf>
    <xf numFmtId="0" fontId="6" fillId="6" borderId="8" xfId="0" applyFont="1" applyFill="1" applyBorder="1" applyAlignment="1">
      <alignment horizontal="left"/>
    </xf>
    <xf numFmtId="0" fontId="6" fillId="6" borderId="2" xfId="0" applyFont="1" applyFill="1" applyBorder="1" applyAlignment="1">
      <alignment horizontal="left"/>
    </xf>
    <xf numFmtId="164" fontId="13" fillId="6" borderId="22" xfId="0" applyNumberFormat="1" applyFont="1" applyFill="1" applyBorder="1" applyAlignment="1">
      <alignment horizontal="center"/>
    </xf>
    <xf numFmtId="164" fontId="13" fillId="6" borderId="9" xfId="0" applyNumberFormat="1" applyFont="1" applyFill="1" applyBorder="1" applyAlignment="1">
      <alignment horizontal="center"/>
    </xf>
    <xf numFmtId="0" fontId="5" fillId="4" borderId="8" xfId="0" applyFont="1" applyFill="1" applyBorder="1" applyAlignment="1">
      <alignment horizontal="right"/>
    </xf>
    <xf numFmtId="0" fontId="24" fillId="4" borderId="2" xfId="0" applyFont="1" applyFill="1" applyBorder="1" applyAlignment="1">
      <alignment horizontal="right"/>
    </xf>
    <xf numFmtId="0" fontId="0" fillId="0" borderId="14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0" fontId="5" fillId="8" borderId="11" xfId="0" applyFont="1" applyFill="1" applyBorder="1" applyAlignment="1">
      <alignment horizontal="center"/>
    </xf>
    <xf numFmtId="1" fontId="0" fillId="0" borderId="1" xfId="23" applyNumberFormat="1" applyBorder="1" applyAlignment="1">
      <alignment horizontal="center"/>
      <protection/>
    </xf>
    <xf numFmtId="1" fontId="0" fillId="0" borderId="7" xfId="23" applyNumberFormat="1" applyBorder="1" applyAlignment="1">
      <alignment horizontal="center"/>
      <protection/>
    </xf>
    <xf numFmtId="1" fontId="0" fillId="0" borderId="22" xfId="23" applyNumberFormat="1" applyBorder="1" applyAlignment="1">
      <alignment horizontal="center"/>
      <protection/>
    </xf>
    <xf numFmtId="1" fontId="0" fillId="0" borderId="23" xfId="23" applyNumberFormat="1" applyBorder="1" applyAlignment="1">
      <alignment horizontal="center"/>
      <protection/>
    </xf>
    <xf numFmtId="0" fontId="0" fillId="0" borderId="23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1" fontId="5" fillId="5" borderId="8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" fontId="0" fillId="0" borderId="2" xfId="0" applyNumberFormat="1" applyFont="1" applyBorder="1" applyAlignment="1">
      <alignment horizontal="center"/>
    </xf>
    <xf numFmtId="1" fontId="0" fillId="0" borderId="10" xfId="0" applyNumberFormat="1" applyFont="1" applyBorder="1" applyAlignment="1">
      <alignment horizontal="center"/>
    </xf>
    <xf numFmtId="1" fontId="0" fillId="0" borderId="7" xfId="0" applyNumberFormat="1" applyFont="1" applyBorder="1" applyAlignment="1">
      <alignment horizontal="center"/>
    </xf>
    <xf numFmtId="1" fontId="0" fillId="0" borderId="11" xfId="0" applyNumberFormat="1" applyFont="1" applyBorder="1" applyAlignment="1">
      <alignment horizontal="center"/>
    </xf>
    <xf numFmtId="0" fontId="0" fillId="0" borderId="22" xfId="23" applyBorder="1" applyAlignment="1">
      <alignment horizontal="center"/>
      <protection/>
    </xf>
    <xf numFmtId="0" fontId="0" fillId="0" borderId="23" xfId="23" applyBorder="1" applyAlignment="1">
      <alignment horizontal="center"/>
      <protection/>
    </xf>
    <xf numFmtId="0" fontId="0" fillId="0" borderId="9" xfId="23" applyBorder="1" applyAlignment="1">
      <alignment horizontal="center"/>
      <protection/>
    </xf>
  </cellXfs>
  <cellStyles count="12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Good" xfId="20"/>
    <cellStyle name="Hyperlink" xfId="21"/>
    <cellStyle name="Neutral" xfId="22"/>
    <cellStyle name="Normal 13" xfId="23"/>
    <cellStyle name="Currency 10" xfId="24"/>
    <cellStyle name="Normal 81 2 2" xfId="25"/>
  </cellStyles>
  <dxfs count="1">
    <dxf>
      <font>
        <color rgb="FFFFFFFF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mailto:tkinser@acosta.com" TargetMode="External" /><Relationship Id="rId2" Type="http://schemas.openxmlformats.org/officeDocument/2006/relationships/comments" Target="../comments1.xml" /><Relationship Id="rId4" Type="http://schemas.openxmlformats.org/officeDocument/2006/relationships/printerSettings" Target="../printerSettings/printerSettings1.bin" /><Relationship Id="rId3" Type="http://schemas.openxmlformats.org/officeDocument/2006/relationships/vmlDrawing" Target="../drawings/vmlDrawing1.v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7"/>
  <sheetViews>
    <sheetView showGridLines="0" tabSelected="1" zoomScaleSheetLayoutView="100" workbookViewId="0" topLeftCell="A1"/>
  </sheetViews>
  <sheetFormatPr defaultRowHeight="12.75"/>
  <cols>
    <col min="1" max="1" width="5.42857142857143" customWidth="1"/>
    <col min="2" max="2" width="19.5714285714286" customWidth="1"/>
    <col min="3" max="3" width="46.2857142857143" customWidth="1"/>
    <col min="4" max="4" width="15.4285714285714" style="1" customWidth="1"/>
    <col min="5" max="5" width="12.8571428571429" style="1" customWidth="1"/>
    <col min="6" max="6" width="14.7142857142857" style="1" customWidth="1"/>
    <col min="7" max="7" width="14.2857142857143" customWidth="1"/>
    <col min="8" max="8" width="11.5714285714286" style="2" customWidth="1"/>
    <col min="9" max="9" width="11.2857142857143" customWidth="1"/>
    <col min="10" max="10" width="10.5714285714286" customWidth="1"/>
    <col min="11" max="11" width="11.1428571428571" customWidth="1"/>
  </cols>
  <sheetData>
    <row r="1" spans="2:10" ht="13" thickBot="1">
      <c r="B1" s="10"/>
      <c r="C1" s="10"/>
      <c r="D1" s="11"/>
      <c r="E1" s="11"/>
      <c r="F1" s="11"/>
      <c r="G1" s="10"/>
      <c r="H1" s="12"/>
      <c r="I1" s="10"/>
      <c r="J1" s="13"/>
    </row>
    <row r="2" spans="2:11" s="4" customFormat="1" ht="15" customHeight="1" thickBot="1">
      <c r="B2" s="161" t="s">
        <v>0</v>
      </c>
      <c r="C2" s="162"/>
      <c r="D2" s="162"/>
      <c r="E2" s="162"/>
      <c r="F2" s="162"/>
      <c r="G2" s="162"/>
      <c r="H2" s="162"/>
      <c r="I2" s="138" t="s">
        <v>1</v>
      </c>
      <c r="J2" s="139"/>
      <c r="K2" s="140"/>
    </row>
    <row r="3" spans="2:11" s="5" customFormat="1" ht="15" customHeight="1" thickBot="1">
      <c r="B3" s="77" t="s">
        <v>2</v>
      </c>
      <c r="C3" s="102" t="s">
        <v>3</v>
      </c>
      <c r="D3" s="78" t="s">
        <v>4</v>
      </c>
      <c r="E3" s="163" t="s">
        <v>5</v>
      </c>
      <c r="F3" s="164"/>
      <c r="G3" s="164"/>
      <c r="H3" s="79"/>
      <c r="I3" s="44" t="s">
        <v>6</v>
      </c>
      <c r="J3" s="45"/>
      <c r="K3" s="46"/>
    </row>
    <row r="4" spans="2:11" s="6" customFormat="1" ht="15" customHeight="1" thickBot="1">
      <c r="B4" s="80" t="s">
        <v>7</v>
      </c>
      <c r="C4" s="102" t="s">
        <v>8</v>
      </c>
      <c r="D4" s="81" t="s">
        <v>9</v>
      </c>
      <c r="E4" s="165" t="s">
        <v>10</v>
      </c>
      <c r="F4" s="164"/>
      <c r="G4" s="164"/>
      <c r="H4" s="82"/>
      <c r="I4" s="47"/>
      <c r="J4" s="48"/>
      <c r="K4" s="49"/>
    </row>
    <row r="5" spans="2:11" s="6" customFormat="1" ht="15" customHeight="1" thickBot="1">
      <c r="B5" s="80" t="s">
        <v>11</v>
      </c>
      <c r="C5" s="114" t="s">
        <v>12</v>
      </c>
      <c r="D5" s="81" t="s">
        <v>13</v>
      </c>
      <c r="E5" s="165" t="s">
        <v>10</v>
      </c>
      <c r="F5" s="164"/>
      <c r="G5" s="164"/>
      <c r="H5" s="82"/>
      <c r="I5" s="50" t="s">
        <v>14</v>
      </c>
      <c r="J5" s="48"/>
      <c r="K5" s="49"/>
    </row>
    <row r="6" spans="2:11" s="6" customFormat="1" ht="15" customHeight="1" thickBot="1">
      <c r="B6" s="83" t="s">
        <v>15</v>
      </c>
      <c r="C6" s="114" t="str">
        <f>CONCATENATE(B56,", ",B57,"  ",B58)</f>
        <v>ENGLEWOOD CLIFFS, NJ  076323201</v>
      </c>
      <c r="D6" s="81" t="s">
        <v>16</v>
      </c>
      <c r="E6" s="145" t="s">
        <v>17</v>
      </c>
      <c r="F6" s="146"/>
      <c r="G6" s="146"/>
      <c r="H6" s="82"/>
      <c r="I6" s="47"/>
      <c r="J6" s="48"/>
      <c r="K6" s="49"/>
    </row>
    <row r="7" spans="2:11" s="9" customFormat="1" ht="15" customHeight="1" thickBot="1">
      <c r="B7" s="84"/>
      <c r="C7" s="85"/>
      <c r="D7" s="85"/>
      <c r="E7" s="86"/>
      <c r="F7" s="87"/>
      <c r="G7" s="88"/>
      <c r="H7" s="89"/>
      <c r="I7" s="50" t="s">
        <v>18</v>
      </c>
      <c r="J7" s="51"/>
      <c r="K7" s="52"/>
    </row>
    <row r="8" spans="2:11" s="9" customFormat="1" ht="14.25" customHeight="1" thickBot="1">
      <c r="B8" s="7"/>
      <c r="C8" s="19"/>
      <c r="D8" s="20"/>
      <c r="E8" s="18"/>
      <c r="F8" s="72" t="s">
        <v>19</v>
      </c>
      <c r="G8" s="73" t="s">
        <v>20</v>
      </c>
      <c r="H8" s="74" t="s">
        <v>21</v>
      </c>
      <c r="I8" s="57"/>
      <c r="J8" s="51"/>
      <c r="K8" s="52"/>
    </row>
    <row r="9" spans="2:12" s="9" customFormat="1" ht="18" customHeight="1" thickBot="1">
      <c r="B9" s="75" t="s">
        <v>22</v>
      </c>
      <c r="C9" s="76"/>
      <c r="D9" s="179" t="s">
        <v>23</v>
      </c>
      <c r="E9" s="180"/>
      <c r="F9" s="112" t="s">
        <v>24</v>
      </c>
      <c r="G9" s="112" t="s">
        <v>24</v>
      </c>
      <c r="H9" s="113" t="s">
        <v>24</v>
      </c>
      <c r="I9" s="50" t="s">
        <v>25</v>
      </c>
      <c r="J9" s="51"/>
      <c r="K9" s="52"/>
      <c r="L9" s="103"/>
    </row>
    <row r="10" spans="2:11" s="9" customFormat="1" ht="13">
      <c r="B10" s="181" t="s">
        <v>26</v>
      </c>
      <c r="C10" s="182"/>
      <c r="D10" s="149"/>
      <c r="E10" s="149"/>
      <c r="F10" s="149"/>
      <c r="G10" s="149"/>
      <c r="H10" s="150"/>
      <c r="I10" s="50"/>
      <c r="J10" s="51"/>
      <c r="K10" s="52"/>
    </row>
    <row r="11" spans="2:11" s="9" customFormat="1" ht="12.5">
      <c r="B11" s="183" t="s">
        <v>27</v>
      </c>
      <c r="C11" s="184"/>
      <c r="D11" s="184"/>
      <c r="E11" s="184"/>
      <c r="F11" s="184"/>
      <c r="G11" s="184"/>
      <c r="H11" s="184"/>
      <c r="I11" s="143" t="s">
        <v>28</v>
      </c>
      <c r="J11" s="143"/>
      <c r="K11" s="144"/>
    </row>
    <row r="12" spans="2:11" s="9" customFormat="1" ht="17.25" customHeight="1" thickBot="1">
      <c r="B12" s="151"/>
      <c r="C12" s="152"/>
      <c r="D12" s="152"/>
      <c r="E12" s="152"/>
      <c r="F12" s="152"/>
      <c r="G12" s="152"/>
      <c r="H12" s="152"/>
      <c r="I12" s="53"/>
      <c r="J12" s="51"/>
      <c r="K12" s="52"/>
    </row>
    <row r="13" spans="2:11" s="9" customFormat="1" ht="15" customHeight="1" thickBot="1">
      <c r="B13" s="141" t="s">
        <v>29</v>
      </c>
      <c r="C13" s="142"/>
      <c r="D13" s="153"/>
      <c r="E13" s="154"/>
      <c r="F13" s="177" t="s">
        <v>30</v>
      </c>
      <c r="G13" s="178"/>
      <c r="H13" s="22"/>
      <c r="I13" s="54" t="s">
        <v>31</v>
      </c>
      <c r="J13" s="55"/>
      <c r="K13" s="56"/>
    </row>
    <row r="14" spans="2:11" s="9" customFormat="1" ht="15" customHeight="1" thickBot="1">
      <c r="B14" s="155" t="s">
        <v>32</v>
      </c>
      <c r="C14" s="156"/>
      <c r="D14" s="153" t="s">
        <v>33</v>
      </c>
      <c r="E14" s="154"/>
      <c r="F14" s="15"/>
      <c r="G14" s="15"/>
      <c r="H14" s="22"/>
      <c r="I14" s="17"/>
      <c r="J14" s="15"/>
      <c r="K14" s="16"/>
    </row>
    <row r="15" spans="2:11" s="9" customFormat="1" ht="15" customHeight="1" thickBot="1">
      <c r="B15" s="155" t="s">
        <v>34</v>
      </c>
      <c r="C15" s="156"/>
      <c r="D15" s="169"/>
      <c r="E15" s="154"/>
      <c r="F15" s="175" t="s">
        <v>35</v>
      </c>
      <c r="G15" s="176"/>
      <c r="H15" s="24"/>
      <c r="I15" s="15"/>
      <c r="J15" s="15"/>
      <c r="K15" s="16"/>
    </row>
    <row r="16" spans="2:11" s="9" customFormat="1" ht="10.5" customHeight="1" thickBot="1">
      <c r="B16" s="25"/>
      <c r="C16" s="23"/>
      <c r="D16" s="147"/>
      <c r="E16" s="148"/>
      <c r="F16" s="148"/>
      <c r="G16" s="148"/>
      <c r="H16" s="148"/>
      <c r="K16" s="14"/>
    </row>
    <row r="17" spans="2:11" s="9" customFormat="1" ht="15.75" customHeight="1" thickBot="1">
      <c r="B17" s="170" t="s">
        <v>36</v>
      </c>
      <c r="C17" s="171"/>
      <c r="D17" s="171"/>
      <c r="E17" s="172"/>
      <c r="F17" s="21"/>
      <c r="G17" s="21"/>
      <c r="H17" s="21"/>
      <c r="I17" s="15"/>
      <c r="J17" s="15"/>
      <c r="K17" s="16"/>
    </row>
    <row r="18" spans="2:11" s="9" customFormat="1" ht="12" customHeight="1" thickBot="1">
      <c r="B18" s="90" t="s">
        <v>37</v>
      </c>
      <c r="C18" s="21"/>
      <c r="D18" s="21"/>
      <c r="E18" s="21"/>
      <c r="F18" s="21"/>
      <c r="G18" s="21"/>
      <c r="H18" s="21"/>
      <c r="I18" s="166" t="s">
        <v>38</v>
      </c>
      <c r="J18" s="167"/>
      <c r="K18" s="168"/>
    </row>
    <row r="19" spans="2:12" s="9" customFormat="1" ht="24" customHeight="1" thickBot="1">
      <c r="B19" s="32" t="s">
        <v>39</v>
      </c>
      <c r="C19" s="33" t="s">
        <v>40</v>
      </c>
      <c r="D19" s="32" t="s">
        <v>41</v>
      </c>
      <c r="E19" s="34" t="s">
        <v>42</v>
      </c>
      <c r="F19" s="35" t="s">
        <v>43</v>
      </c>
      <c r="G19" s="36" t="s">
        <v>44</v>
      </c>
      <c r="H19" s="37" t="s">
        <v>45</v>
      </c>
      <c r="I19" s="41" t="s">
        <v>46</v>
      </c>
      <c r="J19" s="40" t="s">
        <v>47</v>
      </c>
      <c r="K19" s="40" t="s">
        <v>48</v>
      </c>
      <c r="L19" s="8"/>
    </row>
    <row r="20" spans="2:11" s="9" customFormat="1" ht="15" customHeight="1">
      <c r="B20" s="122" t="s">
        <v>49</v>
      </c>
      <c r="C20" s="125" t="s">
        <v>50</v>
      </c>
      <c r="D20" s="117" t="str">
        <f>IF(C20="","",IF(H56="",D56,I56))</f>
        <v>8</v>
      </c>
      <c r="E20" s="117" t="s">
        <v>51</v>
      </c>
      <c r="F20" s="133" t="s">
        <v>52</v>
      </c>
      <c r="G20" s="118">
        <f>IF(C20="","",IF(H56="",VALUE(J56),IF(H56="D",VALUE(J56/G56),IF(H56="M",VALUE(J56*G56)))))</f>
        <v>35.18</v>
      </c>
      <c r="H20" s="118">
        <f>IF(C20="","",G20/D20)</f>
        <v>4.3975</v>
      </c>
      <c r="I20" s="127" t="s">
        <v>53</v>
      </c>
      <c r="J20" s="128" t="s">
        <v>54</v>
      </c>
      <c r="K20" s="129" t="s">
        <v>55</v>
      </c>
    </row>
    <row r="21" spans="2:11" s="9" customFormat="1" ht="15" customHeight="1">
      <c r="B21" s="123"/>
      <c r="C21" s="126"/>
      <c r="D21" s="117" t="str">
        <f t="shared" si="0" ref="D21:D29">IF(C21="","",IF(H57="",D57,I57))</f>
        <v/>
      </c>
      <c r="E21" s="60"/>
      <c r="F21" s="63"/>
      <c r="G21" s="119" t="str">
        <f t="shared" si="1" ref="G21:G29">IF(C21="","",IF(H57="",VALUE(J57),IF(H57="D",VALUE(J57/G57),IF(H57="M",VALUE(J57*G57)))))</f>
        <v/>
      </c>
      <c r="H21" s="119" t="str">
        <f>IF(C21="","",G21/D21)</f>
        <v/>
      </c>
      <c r="I21" s="130"/>
      <c r="J21" s="130"/>
      <c r="K21" s="131"/>
    </row>
    <row r="22" spans="2:11" s="9" customFormat="1" ht="15" customHeight="1">
      <c r="B22" s="124"/>
      <c r="C22" s="61"/>
      <c r="D22" s="117" t="str">
        <f>IF(C22="","",IF(H58="",D58,I58))</f>
        <v/>
      </c>
      <c r="E22" s="60"/>
      <c r="F22" s="63"/>
      <c r="G22" s="119" t="str">
        <f>IF(C22="","",IF(H58="",VALUE(J58),IF(H58="D",VALUE(J58/G58),IF(H58="M",VALUE(J58*G58)))))</f>
        <v/>
      </c>
      <c r="H22" s="119" t="str">
        <f t="shared" si="2" ref="H22:H29">IF(C22="","",G22/D22)</f>
        <v/>
      </c>
      <c r="I22" s="130"/>
      <c r="J22" s="130"/>
      <c r="K22" s="131"/>
    </row>
    <row r="23" spans="2:11" s="9" customFormat="1" ht="15" customHeight="1">
      <c r="B23" s="124"/>
      <c r="C23" s="61"/>
      <c r="D23" s="117" t="str">
        <f>IF(C23="","",IF(H59="",D59,I59))</f>
        <v/>
      </c>
      <c r="E23" s="60"/>
      <c r="F23" s="60"/>
      <c r="G23" s="119" t="str">
        <f>IF(C23="","",IF(H59="",VALUE(J59),IF(H59="D",VALUE(J59/G59),IF(H59="M",VALUE(J59*G59)))))</f>
        <v/>
      </c>
      <c r="H23" s="119" t="str">
        <f>IF(C23="","",G23/D23)</f>
        <v/>
      </c>
      <c r="I23" s="130"/>
      <c r="J23" s="130"/>
      <c r="K23" s="131"/>
    </row>
    <row r="24" spans="2:11" s="9" customFormat="1" ht="15" customHeight="1">
      <c r="B24" s="124"/>
      <c r="C24" s="61"/>
      <c r="D24" s="117" t="str">
        <f>IF(C24="","",IF(H60="",D60,I60))</f>
        <v/>
      </c>
      <c r="E24" s="60"/>
      <c r="F24" s="134"/>
      <c r="G24" s="119" t="str">
        <f>IF(C24="","",IF(H60="",VALUE(J60),IF(H60="D",VALUE(J60/G60),IF(H60="M",VALUE(J60*G60)))))</f>
        <v/>
      </c>
      <c r="H24" s="119" t="str">
        <f>IF(C24="","",G24/D24)</f>
        <v/>
      </c>
      <c r="I24" s="130"/>
      <c r="J24" s="130"/>
      <c r="K24" s="131"/>
    </row>
    <row r="25" spans="2:11" s="9" customFormat="1" ht="15" customHeight="1">
      <c r="B25" s="62"/>
      <c r="C25" s="126"/>
      <c r="D25" s="117" t="str">
        <f>IF(C25="","",IF(H61="",D61,I61))</f>
        <v/>
      </c>
      <c r="E25" s="63"/>
      <c r="F25" s="63"/>
      <c r="G25" s="119" t="str">
        <f>IF(C25="","",IF(H61="",VALUE(J61),IF(H61="D",VALUE(J61/G61),IF(H61="M",VALUE(J61*G61)))))</f>
        <v/>
      </c>
      <c r="H25" s="119" t="str">
        <f>IF(C25="","",G25/D25)</f>
        <v/>
      </c>
      <c r="I25" s="130"/>
      <c r="J25" s="130"/>
      <c r="K25" s="132"/>
    </row>
    <row r="26" spans="2:11" s="9" customFormat="1" ht="15" customHeight="1">
      <c r="B26" s="62"/>
      <c r="C26" s="126"/>
      <c r="D26" s="117" t="str">
        <f>IF(C26="","",IF(H62="",D62,I62))</f>
        <v/>
      </c>
      <c r="E26" s="63"/>
      <c r="F26" s="63"/>
      <c r="G26" s="119" t="str">
        <f>IF(C26="","",IF(H62="",VALUE(J62),IF(H62="D",VALUE(J62/G62),IF(H62="M",VALUE(J62*G62)))))</f>
        <v/>
      </c>
      <c r="H26" s="119" t="str">
        <f>IF(C26="","",G26/D26)</f>
        <v/>
      </c>
      <c r="I26" s="130"/>
      <c r="J26" s="130"/>
      <c r="K26" s="132"/>
    </row>
    <row r="27" spans="2:11" s="9" customFormat="1" ht="15" customHeight="1">
      <c r="B27" s="62"/>
      <c r="C27" s="126"/>
      <c r="D27" s="117" t="str">
        <f>IF(C27="","",IF(H63="",D63,I63))</f>
        <v/>
      </c>
      <c r="E27" s="63"/>
      <c r="F27" s="63"/>
      <c r="G27" s="119" t="str">
        <f>IF(C27="","",IF(H63="",VALUE(J63),IF(H63="D",VALUE(J63/G63),IF(H63="M",VALUE(J63*G63)))))</f>
        <v/>
      </c>
      <c r="H27" s="119" t="str">
        <f>IF(C27="","",G27/D27)</f>
        <v/>
      </c>
      <c r="I27" s="130"/>
      <c r="J27" s="130"/>
      <c r="K27" s="132"/>
    </row>
    <row r="28" spans="2:11" s="9" customFormat="1" ht="15" customHeight="1">
      <c r="B28" s="62"/>
      <c r="C28" s="126"/>
      <c r="D28" s="117" t="str">
        <f>IF(C28="","",IF(H64="",D64,I64))</f>
        <v/>
      </c>
      <c r="E28" s="63"/>
      <c r="F28" s="63"/>
      <c r="G28" s="119" t="str">
        <f>IF(C28="","",IF(H64="",VALUE(J64),IF(H64="D",VALUE(J64/G64),IF(H64="M",VALUE(J64*G64)))))</f>
        <v/>
      </c>
      <c r="H28" s="119" t="str">
        <f>IF(C28="","",G28/D28)</f>
        <v/>
      </c>
      <c r="I28" s="130"/>
      <c r="J28" s="130"/>
      <c r="K28" s="132"/>
    </row>
    <row r="29" spans="2:11" s="9" customFormat="1" ht="15" customHeight="1">
      <c r="B29" s="62"/>
      <c r="C29" s="126"/>
      <c r="D29" s="117" t="str">
        <f>IF(C29="","",IF(H65="",D65,I65))</f>
        <v/>
      </c>
      <c r="E29" s="63"/>
      <c r="F29" s="63"/>
      <c r="G29" s="119" t="str">
        <f>IF(C29="","",IF(H65="",VALUE(J65),IF(H65="D",VALUE(J65/G65),IF(H65="M",VALUE(J65*G65)))))</f>
        <v/>
      </c>
      <c r="H29" s="119" t="str">
        <f>IF(C29="","",G29/D29)</f>
        <v/>
      </c>
      <c r="I29" s="130"/>
      <c r="J29" s="130"/>
      <c r="K29" s="132"/>
    </row>
    <row r="30" spans="2:11" s="9" customFormat="1" ht="15" customHeight="1" thickBot="1">
      <c r="B30" s="96" t="s">
        <v>56</v>
      </c>
      <c r="C30" s="97"/>
      <c r="D30" s="97"/>
      <c r="E30" s="98"/>
      <c r="F30" s="99"/>
      <c r="G30" s="100"/>
      <c r="H30" s="101"/>
      <c r="I30" s="58"/>
      <c r="J30" s="58"/>
      <c r="K30" s="59"/>
    </row>
    <row r="31" spans="2:11" s="9" customFormat="1" ht="15" customHeight="1" thickBot="1">
      <c r="B31" s="26" t="s">
        <v>39</v>
      </c>
      <c r="C31" s="27" t="s">
        <v>40</v>
      </c>
      <c r="D31" s="29" t="s">
        <v>43</v>
      </c>
      <c r="E31" s="28" t="s">
        <v>42</v>
      </c>
      <c r="F31" s="185" t="s">
        <v>57</v>
      </c>
      <c r="G31" s="186"/>
      <c r="H31" s="159"/>
      <c r="I31" s="159"/>
      <c r="J31" s="159"/>
      <c r="K31" s="160"/>
    </row>
    <row r="32" spans="2:11" s="9" customFormat="1" ht="15" customHeight="1" thickBot="1">
      <c r="B32" s="64"/>
      <c r="C32" s="65"/>
      <c r="D32" s="65"/>
      <c r="E32" s="66"/>
      <c r="F32" s="173"/>
      <c r="G32" s="173"/>
      <c r="H32" s="173"/>
      <c r="I32" s="173"/>
      <c r="J32" s="173"/>
      <c r="K32" s="174"/>
    </row>
    <row r="33" spans="2:11" s="9" customFormat="1" ht="15" customHeight="1" thickBot="1">
      <c r="B33" s="62"/>
      <c r="C33" s="63"/>
      <c r="D33" s="63"/>
      <c r="E33" s="67"/>
      <c r="F33" s="191"/>
      <c r="G33" s="191"/>
      <c r="H33" s="191"/>
      <c r="I33" s="191"/>
      <c r="J33" s="191"/>
      <c r="K33" s="192"/>
    </row>
    <row r="34" spans="2:11" s="9" customFormat="1" ht="15" customHeight="1" thickBot="1">
      <c r="B34" s="68"/>
      <c r="C34" s="63"/>
      <c r="D34" s="63"/>
      <c r="E34" s="67"/>
      <c r="F34" s="191"/>
      <c r="G34" s="191"/>
      <c r="H34" s="191"/>
      <c r="I34" s="191"/>
      <c r="J34" s="191"/>
      <c r="K34" s="192"/>
    </row>
    <row r="35" spans="2:11" s="9" customFormat="1" ht="15" customHeight="1" thickBot="1">
      <c r="B35" s="62"/>
      <c r="C35" s="63"/>
      <c r="D35" s="63"/>
      <c r="E35" s="67"/>
      <c r="F35" s="173"/>
      <c r="G35" s="173"/>
      <c r="H35" s="173"/>
      <c r="I35" s="173"/>
      <c r="J35" s="173"/>
      <c r="K35" s="174"/>
    </row>
    <row r="36" spans="2:11" s="9" customFormat="1" ht="15" customHeight="1" thickBot="1">
      <c r="B36" s="62"/>
      <c r="C36" s="63"/>
      <c r="D36" s="63"/>
      <c r="E36" s="67"/>
      <c r="F36" s="191"/>
      <c r="G36" s="191"/>
      <c r="H36" s="191"/>
      <c r="I36" s="191"/>
      <c r="J36" s="191"/>
      <c r="K36" s="192"/>
    </row>
    <row r="37" spans="2:11" s="9" customFormat="1" ht="15" customHeight="1" thickBot="1">
      <c r="B37" s="62"/>
      <c r="C37" s="63"/>
      <c r="D37" s="63"/>
      <c r="E37" s="67"/>
      <c r="F37" s="191"/>
      <c r="G37" s="191"/>
      <c r="H37" s="191"/>
      <c r="I37" s="191"/>
      <c r="J37" s="191"/>
      <c r="K37" s="192"/>
    </row>
    <row r="38" spans="2:11" s="9" customFormat="1" ht="15" customHeight="1" thickBot="1">
      <c r="B38" s="62"/>
      <c r="C38" s="63"/>
      <c r="D38" s="63"/>
      <c r="E38" s="67"/>
      <c r="F38" s="191"/>
      <c r="G38" s="191"/>
      <c r="H38" s="191"/>
      <c r="I38" s="191"/>
      <c r="J38" s="191"/>
      <c r="K38" s="192"/>
    </row>
    <row r="39" spans="2:11" s="9" customFormat="1" ht="15" customHeight="1" thickBot="1">
      <c r="B39" s="62"/>
      <c r="C39" s="63"/>
      <c r="D39" s="63"/>
      <c r="E39" s="67"/>
      <c r="F39" s="191"/>
      <c r="G39" s="191"/>
      <c r="H39" s="191"/>
      <c r="I39" s="191"/>
      <c r="J39" s="191"/>
      <c r="K39" s="192"/>
    </row>
    <row r="40" spans="2:11" s="9" customFormat="1" ht="15" customHeight="1">
      <c r="B40" s="62"/>
      <c r="C40" s="63"/>
      <c r="D40" s="63"/>
      <c r="E40" s="67"/>
      <c r="F40" s="30"/>
      <c r="G40" s="39" t="s">
        <v>58</v>
      </c>
      <c r="H40" s="157"/>
      <c r="I40" s="157"/>
      <c r="J40" s="157"/>
      <c r="K40" s="158"/>
    </row>
    <row r="41" spans="2:11" s="9" customFormat="1" ht="15" customHeight="1" thickBot="1">
      <c r="B41" s="69"/>
      <c r="C41" s="70"/>
      <c r="D41" s="70"/>
      <c r="E41" s="71"/>
      <c r="F41" s="30"/>
      <c r="G41" s="42" t="s">
        <v>59</v>
      </c>
      <c r="H41" s="159"/>
      <c r="I41" s="159"/>
      <c r="J41" s="159"/>
      <c r="K41" s="160"/>
    </row>
    <row r="42" spans="2:11" s="9" customFormat="1" ht="15" customHeight="1" thickBot="1">
      <c r="B42" s="95" t="s">
        <v>57</v>
      </c>
      <c r="C42" s="38"/>
      <c r="D42" s="38"/>
      <c r="E42" s="38"/>
      <c r="F42" s="94"/>
      <c r="G42" s="31"/>
      <c r="H42" s="157"/>
      <c r="I42" s="157"/>
      <c r="J42" s="157"/>
      <c r="K42" s="158"/>
    </row>
    <row r="43" spans="2:11" s="9" customFormat="1" ht="15" customHeight="1" thickBot="1">
      <c r="B43" s="187" t="s">
        <v>60</v>
      </c>
      <c r="C43" s="188"/>
      <c r="D43" s="188"/>
      <c r="E43" s="188"/>
      <c r="F43" s="188"/>
      <c r="G43" s="43" t="s">
        <v>16</v>
      </c>
      <c r="H43" s="159"/>
      <c r="I43" s="159"/>
      <c r="J43" s="159"/>
      <c r="K43" s="160"/>
    </row>
    <row r="44" spans="2:11" s="9" customFormat="1" ht="14.25" customHeight="1" thickBot="1">
      <c r="B44" s="189" t="s">
        <v>61</v>
      </c>
      <c r="C44" s="190"/>
      <c r="D44" s="190"/>
      <c r="E44" s="190"/>
      <c r="F44" s="190"/>
      <c r="G44" s="193" t="s">
        <v>62</v>
      </c>
      <c r="H44" s="195"/>
      <c r="I44" s="195"/>
      <c r="J44" s="195"/>
      <c r="K44" s="196"/>
    </row>
    <row r="45" spans="2:24" s="5" customFormat="1" ht="12.75" customHeight="1" thickBot="1">
      <c r="B45" s="199" t="s">
        <v>24</v>
      </c>
      <c r="C45" s="200"/>
      <c r="D45" s="200" t="s">
        <v>24</v>
      </c>
      <c r="E45" s="200"/>
      <c r="F45" s="201"/>
      <c r="G45" s="194"/>
      <c r="H45" s="197"/>
      <c r="I45" s="197"/>
      <c r="J45" s="197"/>
      <c r="K45" s="198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3"/>
    </row>
    <row r="46" spans="2:11" ht="13" thickBot="1">
      <c r="B46" s="135"/>
      <c r="C46" s="136"/>
      <c r="D46" s="136"/>
      <c r="E46" s="136"/>
      <c r="F46" s="136"/>
      <c r="G46" s="136"/>
      <c r="H46" s="136"/>
      <c r="I46" s="91"/>
      <c r="J46" s="93">
        <v>43577</v>
      </c>
      <c r="K46" s="92"/>
    </row>
    <row r="48" spans="2:11" s="103" customFormat="1" ht="12.5">
      <c r="B48" s="115" t="s">
        <v>63</v>
      </c>
      <c r="C48" s="115" t="s">
        <v>64</v>
      </c>
      <c r="D48" s="115" t="s">
        <v>65</v>
      </c>
      <c r="E48" s="115" t="s">
        <v>66</v>
      </c>
      <c r="F48" s="116"/>
      <c r="G48" s="116" t="s">
        <v>67</v>
      </c>
      <c r="H48" s="115"/>
      <c r="I48" s="116"/>
      <c r="J48" s="115" t="s">
        <v>68</v>
      </c>
      <c r="K48" s="115" t="s">
        <v>69</v>
      </c>
    </row>
    <row r="49" spans="2:11" s="103" customFormat="1" ht="12.5">
      <c r="B49" s="116"/>
      <c r="C49" s="116"/>
      <c r="D49" s="116"/>
      <c r="E49" s="116"/>
      <c r="F49" s="116" t="s">
        <v>70</v>
      </c>
      <c r="G49" s="116"/>
      <c r="H49" s="116"/>
      <c r="I49" s="116"/>
      <c r="J49" s="116"/>
      <c r="K49" s="116"/>
    </row>
    <row r="50" spans="2:8" s="103" customFormat="1" ht="12.5">
      <c r="B50" s="137"/>
      <c r="C50" s="137"/>
      <c r="D50" s="137"/>
      <c r="E50" s="137"/>
      <c r="F50" s="137"/>
      <c r="G50" s="137"/>
      <c r="H50" s="137"/>
    </row>
    <row r="51" spans="2:8" s="103" customFormat="1" ht="12.5">
      <c r="B51" s="137"/>
      <c r="C51" s="137"/>
      <c r="D51" s="137"/>
      <c r="E51" s="137"/>
      <c r="F51" s="137"/>
      <c r="G51" s="137"/>
      <c r="H51" s="137"/>
    </row>
    <row r="52" spans="2:8" s="103" customFormat="1" ht="12.5" hidden="1">
      <c r="B52" s="137"/>
      <c r="C52" s="137"/>
      <c r="D52" s="137"/>
      <c r="E52" s="137"/>
      <c r="F52" s="137"/>
      <c r="G52" s="137"/>
      <c r="H52" s="137"/>
    </row>
    <row r="53" spans="2:8" s="103" customFormat="1" ht="12.5" hidden="1">
      <c r="B53" s="137"/>
      <c r="C53" s="137"/>
      <c r="D53" s="137"/>
      <c r="E53" s="137"/>
      <c r="F53" s="137"/>
      <c r="G53" s="137"/>
      <c r="H53" s="137"/>
    </row>
    <row r="54" spans="2:8" s="103" customFormat="1" ht="12.5" hidden="1">
      <c r="B54" s="137"/>
      <c r="C54" s="137"/>
      <c r="D54" s="137"/>
      <c r="E54" s="137"/>
      <c r="F54" s="137"/>
      <c r="G54" s="137"/>
      <c r="H54" s="137"/>
    </row>
    <row r="55" spans="4:10" s="103" customFormat="1" ht="12.5" hidden="1">
      <c r="D55" s="103" t="s">
        <v>71</v>
      </c>
      <c r="G55" s="104" t="s">
        <v>72</v>
      </c>
      <c r="H55" s="104" t="s">
        <v>73</v>
      </c>
      <c r="I55" s="104" t="s">
        <v>74</v>
      </c>
      <c r="J55" s="104" t="s">
        <v>75</v>
      </c>
    </row>
    <row r="56" spans="2:10" s="103" customFormat="1" ht="12.5" hidden="1">
      <c r="B56" s="105" t="s">
        <v>76</v>
      </c>
      <c r="D56" s="120" t="s">
        <v>77</v>
      </c>
      <c r="E56" s="106"/>
      <c r="F56" s="106"/>
      <c r="G56" s="107" t="s">
        <v>78</v>
      </c>
      <c r="H56" s="108"/>
      <c r="I56" s="107" t="s">
        <v>77</v>
      </c>
      <c r="J56" s="107" t="s">
        <v>79</v>
      </c>
    </row>
    <row r="57" spans="2:10" s="103" customFormat="1" ht="12.5" hidden="1">
      <c r="B57" s="105" t="s">
        <v>80</v>
      </c>
      <c r="D57" s="121"/>
      <c r="E57" s="106"/>
      <c r="F57" s="106"/>
      <c r="G57" s="109"/>
      <c r="H57" s="110"/>
      <c r="I57" s="109"/>
      <c r="J57" s="109"/>
    </row>
    <row r="58" spans="2:10" s="103" customFormat="1" ht="12.5" hidden="1">
      <c r="B58" s="105" t="s">
        <v>81</v>
      </c>
      <c r="D58" s="121"/>
      <c r="E58" s="106"/>
      <c r="F58" s="106"/>
      <c r="G58" s="109"/>
      <c r="H58" s="110"/>
      <c r="I58" s="109"/>
      <c r="J58" s="109"/>
    </row>
    <row r="59" spans="4:10" s="103" customFormat="1" ht="12.5" hidden="1">
      <c r="D59" s="121"/>
      <c r="E59" s="106"/>
      <c r="F59" s="106"/>
      <c r="G59" s="109"/>
      <c r="H59" s="110"/>
      <c r="I59" s="109"/>
      <c r="J59" s="109"/>
    </row>
    <row r="60" spans="4:10" s="103" customFormat="1" ht="12.5" hidden="1">
      <c r="D60" s="121"/>
      <c r="E60" s="106"/>
      <c r="F60" s="106"/>
      <c r="G60" s="109"/>
      <c r="H60" s="110"/>
      <c r="I60" s="109"/>
      <c r="J60" s="109"/>
    </row>
    <row r="61" spans="4:10" s="103" customFormat="1" ht="12.5" hidden="1">
      <c r="D61" s="121"/>
      <c r="E61" s="106"/>
      <c r="F61" s="106"/>
      <c r="G61" s="109"/>
      <c r="H61" s="110"/>
      <c r="I61" s="109"/>
      <c r="J61" s="109"/>
    </row>
    <row r="62" spans="4:10" s="103" customFormat="1" ht="12.5" hidden="1">
      <c r="D62" s="121"/>
      <c r="E62" s="106"/>
      <c r="F62" s="106"/>
      <c r="G62" s="109"/>
      <c r="H62" s="110"/>
      <c r="I62" s="109"/>
      <c r="J62" s="109"/>
    </row>
    <row r="63" spans="4:10" s="103" customFormat="1" ht="12.5" hidden="1">
      <c r="D63" s="121"/>
      <c r="E63" s="106"/>
      <c r="F63" s="106"/>
      <c r="G63" s="109"/>
      <c r="H63" s="110"/>
      <c r="I63" s="109"/>
      <c r="J63" s="109"/>
    </row>
    <row r="64" spans="4:10" s="103" customFormat="1" ht="12.5" hidden="1">
      <c r="D64" s="121"/>
      <c r="E64" s="106"/>
      <c r="F64" s="106"/>
      <c r="G64" s="109"/>
      <c r="H64" s="110"/>
      <c r="I64" s="109"/>
      <c r="J64" s="109"/>
    </row>
    <row r="65" spans="4:10" s="103" customFormat="1" ht="12.5" hidden="1">
      <c r="D65" s="121"/>
      <c r="E65" s="106"/>
      <c r="F65" s="106"/>
      <c r="G65" s="109"/>
      <c r="H65" s="110"/>
      <c r="I65" s="109"/>
      <c r="J65" s="109"/>
    </row>
    <row r="66" spans="4:8" s="103" customFormat="1" ht="12.5" hidden="1">
      <c r="D66" s="106"/>
      <c r="E66" s="106"/>
      <c r="F66" s="106"/>
      <c r="H66" s="111"/>
    </row>
    <row r="67" spans="4:8" s="103" customFormat="1" ht="12.5" hidden="1">
      <c r="D67" s="106"/>
      <c r="E67" s="106"/>
      <c r="F67" s="106"/>
      <c r="H67" s="111"/>
    </row>
    <row r="68" ht="12.5" hidden="1"/>
  </sheetData>
  <mergeCells count="47">
    <mergeCell ref="F31:G31"/>
    <mergeCell ref="H31:K31"/>
    <mergeCell ref="B43:F43"/>
    <mergeCell ref="B44:F44"/>
    <mergeCell ref="F33:K33"/>
    <mergeCell ref="F34:K34"/>
    <mergeCell ref="H40:K41"/>
    <mergeCell ref="G44:G45"/>
    <mergeCell ref="F35:K35"/>
    <mergeCell ref="F36:K36"/>
    <mergeCell ref="F38:K38"/>
    <mergeCell ref="F39:K39"/>
    <mergeCell ref="F37:K37"/>
    <mergeCell ref="H44:K45"/>
    <mergeCell ref="B45:C45"/>
    <mergeCell ref="D45:F45"/>
    <mergeCell ref="H42:K43"/>
    <mergeCell ref="B2:H2"/>
    <mergeCell ref="E3:G3"/>
    <mergeCell ref="E4:G4"/>
    <mergeCell ref="E5:G5"/>
    <mergeCell ref="I18:K18"/>
    <mergeCell ref="D15:E15"/>
    <mergeCell ref="B17:E17"/>
    <mergeCell ref="B14:C14"/>
    <mergeCell ref="D14:E14"/>
    <mergeCell ref="F32:K32"/>
    <mergeCell ref="F15:G15"/>
    <mergeCell ref="F13:G13"/>
    <mergeCell ref="D9:E9"/>
    <mergeCell ref="B10:C10"/>
    <mergeCell ref="B11:H11"/>
    <mergeCell ref="I2:K2"/>
    <mergeCell ref="B13:C13"/>
    <mergeCell ref="I11:K11"/>
    <mergeCell ref="E6:G6"/>
    <mergeCell ref="D16:H16"/>
    <mergeCell ref="D10:H10"/>
    <mergeCell ref="B12:H12"/>
    <mergeCell ref="D13:E13"/>
    <mergeCell ref="B15:C15"/>
    <mergeCell ref="B46:H46"/>
    <mergeCell ref="B51:H51"/>
    <mergeCell ref="B52:H52"/>
    <mergeCell ref="B53:H53"/>
    <mergeCell ref="B54:H54"/>
    <mergeCell ref="B50:H50"/>
  </mergeCells>
  <conditionalFormatting sqref="G20:H29">
    <cfRule type="cellIs" priority="1" dxfId="0" operator="equal">
      <formula>0</formula>
    </cfRule>
  </conditionalFormatting>
  <hyperlinks>
    <hyperlink ref="E3" r:id="rId1" display="tkinser@acosta.com"/>
  </hyperlinks>
  <printOptions horizontalCentered="1" verticalCentered="1"/>
  <pageMargins left="0" right="0" top="0" bottom="0" header="0.25" footer="0"/>
  <pageSetup horizontalDpi="96" verticalDpi="96" orientation="landscape" scale="82" r:id="rId4"/>
  <headerFooter alignWithMargins="0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RAMINSSP_1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